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sten" sheetId="1" state="visible" r:id="rId3"/>
    <sheet name="Sätz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<sst xmlns="http://schemas.openxmlformats.org/spreadsheetml/2006/main" count="24" uniqueCount="23">
  <si>
    <t xml:space="preserve">Position</t>
  </si>
  <si>
    <t xml:space="preserve">Menge</t>
  </si>
  <si>
    <t xml:space="preserve">Preis</t>
  </si>
  <si>
    <t xml:space="preserve">Betrag</t>
  </si>
  <si>
    <t xml:space="preserve">Aushub</t>
  </si>
  <si>
    <t xml:space="preserve">Schotter</t>
  </si>
  <si>
    <t xml:space="preserve">Summe netto</t>
  </si>
  <si>
    <t xml:space="preserve">Umsatzsteuer</t>
  </si>
  <si>
    <t xml:space="preserve">Stand (NOW)</t>
  </si>
  <si>
    <t xml:space="preserve">Indirekt</t>
  </si>
  <si>
    <t xml:space="preserve">Zufall</t>
  </si>
  <si>
    <t xml:space="preserve">Als Text</t>
  </si>
  <si>
    <t xml:space="preserve">Aufgerundet</t>
  </si>
  <si>
    <t xml:space="preserve">Spaltensumme</t>
  </si>
  <si>
    <t xml:space="preserve">Matrixkonstante</t>
  </si>
  <si>
    <t xml:space="preserve">Zirkel 1</t>
  </si>
  <si>
    <t xml:space="preserve">Zirkel 2</t>
  </si>
  <si>
    <t xml:space="preserve">Stichtag</t>
  </si>
  <si>
    <t xml:space="preserve">Bedingte Summe</t>
  </si>
  <si>
    <t xml:space="preserve">XLOOKUP</t>
  </si>
  <si>
    <t xml:space="preserve">Anteil Aushub</t>
  </si>
  <si>
    <t xml:space="preserve">Benutzerfunktion (Makro)</t>
  </si>
  <si>
    <t xml:space="preserve">Angebotsdatum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</si>
</sst>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-C07];\-#,##0.00\ [$€-C07]"/>
    <numFmt numFmtId="166" formatCode="mm/dd/yy\ hh:mm\ AM/PM"/>
    <numFmt numFmtId="167" formatCode="dd\.mm\.yyyy"/>
    <numFmt numFmtId="168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42.5</v>
      </c>
      <c r="C2" s="1" t="n">
        <v>18.9</v>
      </c>
      <c r="D2" s="0" t="n">
        <f aca="false">ROUND(B2*C2,2)</f>
        <v>803.25</v>
      </c>
    </row>
    <row r="3" customFormat="false" ht="12.8" hidden="false" customHeight="false" outlineLevel="0" collapsed="false">
      <c r="A3" s="0" t="s">
        <v>5</v>
      </c>
      <c r="B3" s="0" t="n">
        <v>12</v>
      </c>
      <c r="C3" s="1" t="n">
        <v>31</v>
      </c>
      <c r="D3" s="0" t="n">
        <f aca="false">ROUND(B3*C3,2)</f>
        <v>372</v>
      </c>
    </row>
    <row r="4" customFormat="false" ht="12.8" hidden="false" customHeight="false" outlineLevel="0" collapsed="false">
      <c r="A4" s="0" t="s">
        <v>6</v>
      </c>
      <c r="D4" s="0" t="n">
        <f aca="false">SUM(D2:D3)</f>
        <v>1175.25</v>
      </c>
    </row>
    <row r="5" customFormat="false" ht="12.8" hidden="false" customHeight="false" outlineLevel="0" collapsed="false">
      <c r="A5" s="0" t="s">
        <v>7</v>
      </c>
      <c r="D5" s="0" t="n">
        <f aca="false">ROUND(D4*Sätze!B1,2)</f>
        <v>235.05</v>
      </c>
    </row>
    <row r="6" customFormat="false" ht="12.8" hidden="false" customHeight="false" outlineLevel="0" collapsed="false">
      <c r="A6" s="0" t="s">
        <v>8</v>
      </c>
      <c r="D6" s="2" t="n">
        <f aca="true">NOW()</f>
        <v>46307.3656713915</v>
      </c>
    </row>
    <row r="7" customFormat="false" ht="12.8" hidden="false" customHeight="false" outlineLevel="0" collapsed="false">
      <c r="A7" s="0" t="s">
        <v>9</v>
      </c>
      <c r="D7" s="0" t="n">
        <f aca="true">INDIRECT("D4")</f>
        <v>1175.25</v>
      </c>
    </row>
    <row r="8" customFormat="false" ht="12.8" hidden="false" customHeight="false" outlineLevel="0" collapsed="false">
      <c r="A8" s="0" t="s">
        <v>10</v>
      </c>
      <c r="D8" s="0" t="n">
        <f aca="true">RAND()</f>
        <v>0.0228747046373161</v>
      </c>
    </row>
    <row r="9" customFormat="false" ht="12.8" hidden="false" customHeight="false" outlineLevel="0" collapsed="false">
      <c r="A9" s="0" t="s">
        <v>11</v>
      </c>
      <c r="D9" s="0" t="str">
        <f aca="false">TEXT(D4,"0.00")</f>
        <v>1175.25</v>
      </c>
    </row>
    <row r="10" customFormat="false" ht="12.8" hidden="false" customHeight="false" outlineLevel="0" collapsed="false">
      <c r="A10" s="0" t="s">
        <v>12</v>
      </c>
      <c r="D10" s="0" t="n">
        <f aca="false">_xlfn.CEILING.MATH(D4,10)</f>
        <v>1180</v>
      </c>
    </row>
    <row r="11" customFormat="false" ht="12.8" hidden="false" customHeight="false" outlineLevel="0" collapsed="false">
      <c r="A11" s="0" t="s">
        <v>13</v>
      </c>
      <c r="D11" s="0" t="n">
        <f aca="false">SUM(B:B)</f>
        <v>46421.5</v>
      </c>
    </row>
    <row r="12" customFormat="false" ht="12.8" hidden="false" customHeight="false" outlineLevel="0" collapsed="false">
      <c r="A12" s="0" t="s">
        <v>14</v>
      </c>
      <c r="D12" s="0" t="n">
        <f aca="false">SUM({1,2,3})</f>
        <v>6</v>
      </c>
    </row>
    <row r="13" customFormat="false" ht="12.8" hidden="false" customHeight="false" outlineLevel="0" collapsed="false">
      <c r="A13" s="0" t="s">
        <v>15</v>
      </c>
      <c r="D13" s="0" t="e">
        <f aca="false">D14+1</f>
        <v>#VALUE!</v>
      </c>
    </row>
    <row r="14" customFormat="false" ht="12.8" hidden="false" customHeight="false" outlineLevel="0" collapsed="false">
      <c r="A14" s="0" t="s">
        <v>16</v>
      </c>
      <c r="D14" s="0" t="e">
        <f aca="false">D13+1</f>
        <v>#VALUE!</v>
      </c>
    </row>
    <row r="15" customFormat="false" ht="12.8" hidden="false" customHeight="false" outlineLevel="0" collapsed="false">
      <c r="A15" s="0" t="s">
        <v>17</v>
      </c>
      <c r="B15" s="3" t="n">
        <v>60</v>
      </c>
      <c r="D15" s="0" t="n">
        <f aca="false">WEEKDAY(B15,2)</f>
        <v>3</v>
      </c>
    </row>
    <row r="16" customFormat="false" ht="12.8" hidden="false" customHeight="false" outlineLevel="0" collapsed="false">
      <c r="A16" s="0" t="s">
        <v>18</v>
      </c>
      <c r="D16" s="0" t="n">
        <f aca="false">SUMIF(A2:A3,"Aushub",D2:D3)</f>
        <v>803.25</v>
      </c>
    </row>
    <row r="17" customFormat="false" ht="12.8" hidden="false" customHeight="false" outlineLevel="0" collapsed="false">
      <c r="A17" s="0" t="s">
        <v>19</v>
      </c>
      <c r="D17" s="0" t="n">
        <f aca="false">_xlfn.XLOOKUP("Schotter",A2:A3,D2:D3)</f>
        <v>372</v>
      </c>
    </row>
    <row r="18" customFormat="false" ht="12.8" hidden="false" customHeight="false" outlineLevel="0" collapsed="false">
      <c r="A18" s="0" t="s">
        <v>20</v>
      </c>
      <c r="D18" s="0" t="n">
        <f aca="false">ROUND(D2/D4,4)</f>
        <v>0.6835</v>
      </c>
    </row>
    <row r="19" customFormat="false" ht="12.8" hidden="false" customHeight="false" outlineLevel="0" collapsed="false">
      <c r="A19" s="0" t="s">
        <v>21</v>
      </c>
      <c r="D19" s="0" t="e">
        <v>#VALUE!</v>
      </c>
    </row>
    <row r="20" customFormat="false" ht="12.8" hidden="false" customHeight="false" outlineLevel="0" collapsed="false">
      <c r="A20" s="0" t="s">
        <v>22</v>
      </c>
      <c r="B20" s="3" t="n">
        <v>46307</v>
      </c>
      <c r="D20" s="3" t="n">
        <f aca="false">EDATE(B20,1)</f>
        <v>46338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  <c r="B1" s="4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2026-10-12T08:46:34Z</dcterms:modified>
  <cp:revision>1</cp:revision>
  <dc:subject/>
  <dc:title/>
</cp:coreProperties>
</file>